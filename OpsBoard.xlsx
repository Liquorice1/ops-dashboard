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rie\Desktop\"/>
    </mc:Choice>
  </mc:AlternateContent>
  <xr:revisionPtr revIDLastSave="0" documentId="13_ncr:1_{E26A81FF-5DA4-4EAF-B823-C26722D86FEA}" xr6:coauthVersionLast="47" xr6:coauthVersionMax="47" xr10:uidLastSave="{00000000-0000-0000-0000-000000000000}"/>
  <bookViews>
    <workbookView xWindow="-120" yWindow="-120" windowWidth="29040" windowHeight="15720" xr2:uid="{5AC9D814-2F36-4C92-858A-F219346175DA}"/>
  </bookViews>
  <sheets>
    <sheet name="Executive Dashboard" sheetId="1" r:id="rId1"/>
    <sheet name="Task Tracker" sheetId="2" r:id="rId2"/>
    <sheet name="Meeting Log" sheetId="3" r:id="rId3"/>
    <sheet name="Key Conta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E7" i="1"/>
  <c r="D7" i="1"/>
  <c r="B7" i="1"/>
  <c r="J5" i="2"/>
  <c r="J6" i="2"/>
  <c r="J7" i="2"/>
  <c r="J8" i="2"/>
  <c r="J4" i="2"/>
  <c r="I4" i="2"/>
  <c r="I5" i="2"/>
  <c r="I6" i="2"/>
  <c r="I7" i="2"/>
  <c r="I8" i="2"/>
  <c r="A3" i="1"/>
</calcChain>
</file>

<file path=xl/sharedStrings.xml><?xml version="1.0" encoding="utf-8"?>
<sst xmlns="http://schemas.openxmlformats.org/spreadsheetml/2006/main" count="56" uniqueCount="47">
  <si>
    <t>EXECUTIVE OPERATIONS DASHBOARD</t>
  </si>
  <si>
    <t>TASK TRACKER — Executive Assistant Worklog</t>
  </si>
  <si>
    <t>Task ID</t>
  </si>
  <si>
    <t>Task Name</t>
  </si>
  <si>
    <t>Category</t>
  </si>
  <si>
    <t>Priority</t>
  </si>
  <si>
    <t>Status</t>
  </si>
  <si>
    <t>Due Date</t>
  </si>
  <si>
    <t>Assigned To</t>
  </si>
  <si>
    <t>Notes</t>
  </si>
  <si>
    <t>T001</t>
  </si>
  <si>
    <t>T002</t>
  </si>
  <si>
    <t>T003</t>
  </si>
  <si>
    <t>T004</t>
  </si>
  <si>
    <t>T005</t>
  </si>
  <si>
    <t>Board Pack Preparation</t>
  </si>
  <si>
    <t>Executive Travel Booking</t>
  </si>
  <si>
    <t>Monthly Budget Report</t>
  </si>
  <si>
    <t>Team Performance Reviews</t>
  </si>
  <si>
    <t>Vendor Contract Renewal</t>
  </si>
  <si>
    <t>Board &amp; Governance</t>
  </si>
  <si>
    <t>Executive Travel</t>
  </si>
  <si>
    <t>Finance &amp; Budget</t>
  </si>
  <si>
    <t>HR &amp; People</t>
  </si>
  <si>
    <t>High</t>
  </si>
  <si>
    <t>Medium</t>
  </si>
  <si>
    <t>In Progress</t>
  </si>
  <si>
    <t>Not Started</t>
  </si>
  <si>
    <t>Awaiting Approval</t>
  </si>
  <si>
    <t>Carrie</t>
  </si>
  <si>
    <t>Draft agenda and financials</t>
  </si>
  <si>
    <t>Flights and hotel for CEO</t>
  </si>
  <si>
    <t>Cross-check with finance</t>
  </si>
  <si>
    <t>H1 review cycle</t>
  </si>
  <si>
    <t>Awaiting legal sign-off</t>
  </si>
  <si>
    <t>Critical</t>
  </si>
  <si>
    <t>Days Until Due</t>
  </si>
  <si>
    <t>Alert</t>
  </si>
  <si>
    <t>TODAY'S BRIEFING</t>
  </si>
  <si>
    <t>TOTAL OPEN TASKS</t>
  </si>
  <si>
    <t>All active tasks</t>
  </si>
  <si>
    <t>IN PROGRESS</t>
  </si>
  <si>
    <t>COMPLETION RATE</t>
  </si>
  <si>
    <t>OVERDUE</t>
  </si>
  <si>
    <t>Currently active</t>
  </si>
  <si>
    <t>Tasks completed</t>
  </si>
  <si>
    <t>Needs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</si>
</sst>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11"/>
      <color rgb="FFD4AF37"/>
      <name val="Aptos Narrow"/>
      <family val="2"/>
      <scheme val="minor"/>
    </font>
    <font>
      <i/>
      <sz val="10"/>
      <color rgb="FFD4AF37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28"/>
      <color rgb="FF1E293B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AF37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1" fillId="2" borderId="0" xfId="0" applyFont="1" applyFill="1"/>
    <xf numFmtId="0" fontId="7" fillId="0" borderId="0" xfId="0" applyFont="1"/>
    <xf numFmtId="0" fontId="8" fillId="3" borderId="0" xfId="0" applyFont="1" applyFill="1"/>
    <xf numFmtId="15" fontId="0" fillId="0" borderId="0" xfId="0" applyNumberFormat="1"/>
    <xf numFmtId="0" fontId="6" fillId="3" borderId="0" xfId="0" applyFont="1" applyFill="1"/>
    <xf numFmtId="0" fontId="2" fillId="3" borderId="0" xfId="0" applyFont="1" applyFill="1" applyAlignment="1">
      <alignment horizontal="center"/>
    </xf>
    <xf numFmtId="0" fontId="11" fillId="0" borderId="0" xfId="0" applyFont="1"/>
    <xf numFmtId="0" fontId="0" fillId="2" borderId="2" xfId="0" applyFill="1" applyBorder="1"/>
    <xf numFmtId="0" fontId="11" fillId="4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0" fillId="4" borderId="4" xfId="0" applyFill="1" applyBorder="1"/>
    <xf numFmtId="9" fontId="12" fillId="4" borderId="3" xfId="1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0" fillId="2" borderId="1" xfId="0" applyFill="1" applyBorder="1"/>
  </cellXfs>
  <cellStyles count="2">
    <cellStyle name="Normal" xfId="0" builtinId="0"/>
    <cellStyle name="Percent" xfId="1" builtinId="5"/>
  </cellStyles>
  <dxfs count="10">
    <dxf>
      <fill>
        <patternFill>
          <bgColor theme="8" tint="0.59996337778862885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</dxfs>
  <tableStyles count="1" defaultTableStyle="TableStyleMedium2" defaultPivotStyle="PivotStyleLight16">
    <tableStyle name="Invisible" pivot="0" table="0" count="0" xr9:uid="{4FC6E498-0B53-4663-B50B-736D59F941DF}"/>
  </tableStyles>
  <colors>
    <mruColors>
      <color rgb="FF1E293B"/>
      <color rgb="FFD4A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4081-F309-46BA-9DB3-3D95C4CC2D96}">
  <sheetPr>
    <tabColor theme="4" tint="-0.249977111117893"/>
  </sheetPr>
  <dimension ref="A1:F9"/>
  <sheetViews>
    <sheetView showGridLines="0" tabSelected="1" workbookViewId="0">
      <selection activeCell="E24" sqref="E24"/>
    </sheetView>
  </sheetViews>
  <sheetFormatPr defaultRowHeight="15" x14ac:dyDescent="0.25"/>
  <cols>
    <col min="2" max="2" width="17.85546875" bestFit="1" customWidth="1"/>
    <col min="3" max="3" width="14.5703125" bestFit="1" customWidth="1"/>
    <col min="4" max="4" width="17.5703125" bestFit="1" customWidth="1"/>
    <col min="5" max="5" width="20.5703125" bestFit="1" customWidth="1"/>
    <col min="6" max="6" width="24.28515625" customWidth="1"/>
  </cols>
  <sheetData>
    <row r="1" spans="1:6" s="1" customFormat="1" ht="28.5" x14ac:dyDescent="0.45">
      <c r="A1" s="10" t="s">
        <v>0</v>
      </c>
      <c r="B1" s="10"/>
      <c r="C1" s="10"/>
      <c r="D1" s="10"/>
      <c r="E1" s="10"/>
      <c r="F1" s="10"/>
    </row>
    <row r="2" spans="1:6" ht="5.0999999999999996" customHeight="1" x14ac:dyDescent="0.25">
      <c r="A2" s="2"/>
      <c r="B2" s="2"/>
      <c r="C2" s="2"/>
      <c r="D2" s="2"/>
      <c r="E2" s="2"/>
      <c r="F2" s="2"/>
    </row>
    <row r="3" spans="1:6" ht="20.100000000000001" customHeight="1" x14ac:dyDescent="0.25">
      <c r="A3" s="4" t="str">
        <f ca="1">TEXT(TODAY(),"DDDD, DD MMMM YYYY")</f>
        <v>Thursday, 07 May 2026</v>
      </c>
      <c r="B3" s="3"/>
      <c r="C3" s="3"/>
      <c r="D3" s="3"/>
      <c r="E3" s="3"/>
      <c r="F3" s="3"/>
    </row>
    <row r="4" spans="1:6" ht="20.100000000000001" customHeight="1" x14ac:dyDescent="0.25">
      <c r="A4" s="11" t="s">
        <v>38</v>
      </c>
      <c r="B4" s="11"/>
    </row>
    <row r="5" spans="1:6" ht="3.95" customHeight="1" x14ac:dyDescent="0.25">
      <c r="B5" s="18"/>
      <c r="C5" s="18"/>
      <c r="D5" s="18"/>
      <c r="E5" s="12"/>
    </row>
    <row r="6" spans="1:6" x14ac:dyDescent="0.25">
      <c r="B6" s="13" t="s">
        <v>39</v>
      </c>
      <c r="C6" s="13" t="s">
        <v>41</v>
      </c>
      <c r="D6" s="13" t="s">
        <v>42</v>
      </c>
      <c r="E6" s="17" t="s">
        <v>43</v>
      </c>
    </row>
    <row r="7" spans="1:6" ht="36" x14ac:dyDescent="0.55000000000000004">
      <c r="B7" s="14">
        <f>COUNTA('Task Tracker'!B4:B100)</f>
        <v>5</v>
      </c>
      <c r="C7" s="14">
        <f>COUNTIF('Task Tracker'!E4:E100, "In Progress")</f>
        <v>2</v>
      </c>
      <c r="D7" s="16">
        <f>IFERROR(COUNTIF('Task Tracker'!E4:E100,"Done")/COUNTA('Task Tracker'!B4:B100),0)</f>
        <v>0</v>
      </c>
      <c r="E7" s="14">
        <f ca="1">COUNTIFS('Task Tracker'!E4:E100,"&lt;"&amp;TODAY(),'Task Tracker'!E4:E100,"&lt;&gt;Done")</f>
        <v>0</v>
      </c>
    </row>
    <row r="8" spans="1:6" x14ac:dyDescent="0.25">
      <c r="B8" s="13" t="s">
        <v>40</v>
      </c>
      <c r="C8" s="13" t="s">
        <v>44</v>
      </c>
      <c r="D8" s="13" t="s">
        <v>45</v>
      </c>
      <c r="E8" s="13" t="s">
        <v>46</v>
      </c>
    </row>
    <row r="9" spans="1:6" x14ac:dyDescent="0.25">
      <c r="B9" s="15"/>
      <c r="C9" s="15"/>
      <c r="D9" s="15"/>
      <c r="E9" s="1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A8A0-EA40-4CAC-9EB1-26F0F713411E}">
  <sheetPr>
    <tabColor theme="3" tint="0.89999084444715716"/>
  </sheetPr>
  <dimension ref="A1:J12"/>
  <sheetViews>
    <sheetView showGridLines="0" workbookViewId="0">
      <pane ySplit="2" topLeftCell="A3" activePane="bottomLeft" state="frozen"/>
      <selection pane="bottomLeft" activeCell="H15" sqref="H15"/>
    </sheetView>
  </sheetViews>
  <sheetFormatPr defaultRowHeight="15" x14ac:dyDescent="0.25"/>
  <cols>
    <col min="1" max="1" width="6.28515625" bestFit="1" customWidth="1"/>
    <col min="2" max="2" width="25.5703125" bestFit="1" customWidth="1"/>
    <col min="3" max="3" width="19.140625" bestFit="1" customWidth="1"/>
    <col min="4" max="4" width="8.140625" bestFit="1" customWidth="1"/>
    <col min="5" max="5" width="17" bestFit="1" customWidth="1"/>
    <col min="6" max="7" width="10" bestFit="1" customWidth="1"/>
    <col min="8" max="8" width="26" bestFit="1" customWidth="1"/>
    <col min="9" max="9" width="11.7109375" bestFit="1" customWidth="1"/>
    <col min="10" max="10" width="4.42578125" bestFit="1" customWidth="1"/>
  </cols>
  <sheetData>
    <row r="1" spans="1:10" ht="39.950000000000003" customHeight="1" x14ac:dyDescent="0.35">
      <c r="A1" s="9" t="s">
        <v>1</v>
      </c>
      <c r="B1" s="9"/>
      <c r="C1" s="9"/>
      <c r="D1" s="9"/>
      <c r="E1" s="9"/>
      <c r="F1" s="9"/>
      <c r="G1" s="9"/>
      <c r="H1" s="9"/>
      <c r="I1" s="9"/>
      <c r="J1" s="9"/>
    </row>
    <row r="2" spans="1:10" ht="5.0999999999999996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4.95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36</v>
      </c>
      <c r="J3" s="7" t="s">
        <v>37</v>
      </c>
    </row>
    <row r="4" spans="1:10" x14ac:dyDescent="0.25">
      <c r="A4" t="s">
        <v>10</v>
      </c>
      <c r="B4" t="s">
        <v>15</v>
      </c>
      <c r="C4" t="s">
        <v>20</v>
      </c>
      <c r="D4" t="s">
        <v>35</v>
      </c>
      <c r="E4" t="s">
        <v>26</v>
      </c>
      <c r="F4" s="8">
        <v>46172</v>
      </c>
      <c r="G4" t="s">
        <v>29</v>
      </c>
      <c r="H4" t="s">
        <v>30</v>
      </c>
      <c r="I4">
        <f ca="1">IF(F4="","",F4-TODAY())</f>
        <v>23</v>
      </c>
      <c r="J4">
        <f ca="1">IF(AND(F4&lt;TODAY(),E4&lt;&gt;"Done"), "⚠ Overdue",IF(E4="Done","✓ Complete",))</f>
        <v>0</v>
      </c>
    </row>
    <row r="5" spans="1:10" x14ac:dyDescent="0.25">
      <c r="A5" t="s">
        <v>11</v>
      </c>
      <c r="B5" t="s">
        <v>16</v>
      </c>
      <c r="C5" t="s">
        <v>21</v>
      </c>
      <c r="D5" t="s">
        <v>24</v>
      </c>
      <c r="E5" t="s">
        <v>27</v>
      </c>
      <c r="F5" s="8">
        <v>46176</v>
      </c>
      <c r="G5" t="s">
        <v>29</v>
      </c>
      <c r="H5" t="s">
        <v>31</v>
      </c>
      <c r="I5">
        <f t="shared" ref="I5:I8" ca="1" si="0">IF(F5= "", "", F5-TODAY())</f>
        <v>27</v>
      </c>
      <c r="J5">
        <f t="shared" ref="J5:J8" ca="1" si="1">IF(AND(F5&lt;TODAY(),E5&lt;&gt;"Done"), "⚠ Overdue",IF(E5="Done","✓ Complete",))</f>
        <v>0</v>
      </c>
    </row>
    <row r="6" spans="1:10" x14ac:dyDescent="0.25">
      <c r="A6" t="s">
        <v>12</v>
      </c>
      <c r="B6" t="s">
        <v>17</v>
      </c>
      <c r="C6" t="s">
        <v>22</v>
      </c>
      <c r="D6" t="s">
        <v>24</v>
      </c>
      <c r="E6" t="s">
        <v>26</v>
      </c>
      <c r="F6" s="8">
        <v>46183</v>
      </c>
      <c r="G6" t="s">
        <v>29</v>
      </c>
      <c r="H6" t="s">
        <v>32</v>
      </c>
      <c r="I6">
        <f t="shared" ca="1" si="0"/>
        <v>34</v>
      </c>
      <c r="J6">
        <f t="shared" ca="1" si="1"/>
        <v>0</v>
      </c>
    </row>
    <row r="7" spans="1:10" x14ac:dyDescent="0.25">
      <c r="A7" t="s">
        <v>13</v>
      </c>
      <c r="B7" t="s">
        <v>18</v>
      </c>
      <c r="C7" t="s">
        <v>23</v>
      </c>
      <c r="D7" t="s">
        <v>25</v>
      </c>
      <c r="E7" t="s">
        <v>27</v>
      </c>
      <c r="F7" s="8">
        <v>46188</v>
      </c>
      <c r="G7" t="s">
        <v>29</v>
      </c>
      <c r="H7" t="s">
        <v>33</v>
      </c>
      <c r="I7">
        <f t="shared" ca="1" si="0"/>
        <v>39</v>
      </c>
      <c r="J7">
        <f t="shared" ca="1" si="1"/>
        <v>0</v>
      </c>
    </row>
    <row r="8" spans="1:10" x14ac:dyDescent="0.25">
      <c r="A8" t="s">
        <v>14</v>
      </c>
      <c r="B8" t="s">
        <v>19</v>
      </c>
      <c r="C8" t="s">
        <v>22</v>
      </c>
      <c r="D8" t="s">
        <v>24</v>
      </c>
      <c r="E8" t="s">
        <v>28</v>
      </c>
      <c r="F8" s="8">
        <v>46170</v>
      </c>
      <c r="G8" t="s">
        <v>29</v>
      </c>
      <c r="H8" t="s">
        <v>34</v>
      </c>
      <c r="I8">
        <f t="shared" ca="1" si="0"/>
        <v>21</v>
      </c>
      <c r="J8">
        <f t="shared" ca="1" si="1"/>
        <v>0</v>
      </c>
    </row>
    <row r="12" spans="1:10" x14ac:dyDescent="0.25">
      <c r="E12" s="6"/>
    </row>
  </sheetData>
  <mergeCells count="2">
    <mergeCell ref="A1:H1"/>
    <mergeCell ref="I1:J1"/>
  </mergeCells>
  <phoneticPr fontId="9" type="noConversion"/>
  <conditionalFormatting sqref="D4:D8">
    <cfRule type="cellIs" dxfId="9" priority="8" operator="equal">
      <formula>"Low"</formula>
    </cfRule>
    <cfRule type="cellIs" dxfId="8" priority="9" operator="equal">
      <formula>"Medium"</formula>
    </cfRule>
    <cfRule type="cellIs" dxfId="7" priority="10" operator="equal">
      <formula>"High"</formula>
    </cfRule>
    <cfRule type="cellIs" dxfId="6" priority="11" operator="equal">
      <formula>"Critical"</formula>
    </cfRule>
  </conditionalFormatting>
  <conditionalFormatting sqref="E4:E8">
    <cfRule type="cellIs" dxfId="5" priority="1" operator="equal">
      <formula>"Delegated"</formula>
    </cfRule>
    <cfRule type="cellIs" dxfId="4" priority="2" operator="equal">
      <formula>"Awaiting Approval"</formula>
    </cfRule>
    <cfRule type="cellIs" dxfId="3" priority="3" operator="equal">
      <formula>"Not Started"</formula>
    </cfRule>
    <cfRule type="cellIs" dxfId="2" priority="4" operator="equal">
      <formula>" Not Started"</formula>
    </cfRule>
    <cfRule type="cellIs" dxfId="1" priority="6" operator="equal">
      <formula>"In Progress"</formula>
    </cfRule>
    <cfRule type="cellIs" dxfId="0" priority="7" operator="equal">
      <formula>"Done"</formula>
    </cfRule>
  </conditionalFormatting>
  <dataValidations count="2">
    <dataValidation type="list" allowBlank="1" showInputMessage="1" showErrorMessage="1" sqref="D4:D8" xr:uid="{B3B5C865-237B-4B51-9498-F7ABCFC3C77C}">
      <formula1>"Critical,High,Medium,Low"</formula1>
    </dataValidation>
    <dataValidation type="list" allowBlank="1" showInputMessage="1" showErrorMessage="1" sqref="E4:E8" xr:uid="{A6633F7B-464C-4E6A-9E15-1FB275829E28}">
      <formula1>"Not Started,In Progress,Awaiting Approval,Delegated,Done"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1DCA-BFE9-4204-AB63-A0DE74511D87}">
  <sheetPr>
    <tabColor rgb="FF0070C0"/>
  </sheetPr>
  <dimension ref="A1"/>
  <sheetViews>
    <sheetView workbookViewId="0">
      <selection activeCell="J22" sqref="J2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3919-06B5-483B-A68E-992DF6FD251F}">
  <sheetPr>
    <tabColor rgb="FF002060"/>
  </sheetPr>
  <dimension ref="A1"/>
  <sheetViews>
    <sheetView workbookViewId="0">
      <selection activeCell="L32" sqref="L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Task Tracker</vt:lpstr>
      <vt:lpstr>Meeting Log</vt:lpstr>
      <vt:lpstr>Key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Svend Rands</dc:creator>
  <cp:lastModifiedBy>Svend Rands</cp:lastModifiedBy>
  <dcterms:created xsi:type="dcterms:W3CDTF">2026-04-30T06:55:58Z</dcterms:created>
  <dcterms:modified xsi:type="dcterms:W3CDTF">2026-05-07T08:40:04Z</dcterms:modified>
</cp:coreProperties>
</file>